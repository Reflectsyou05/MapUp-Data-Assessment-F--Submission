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nxp1-my.sharepoint.com/personal/pavalesagarbasawaraj_x_nxp_com/Documents/Desktop/submit/"/>
    </mc:Choice>
  </mc:AlternateContent>
  <xr:revisionPtr revIDLastSave="467" documentId="13_ncr:1_{48EB4397-F178-E54E-B28D-22A41FCA72D2}" xr6:coauthVersionLast="47" xr6:coauthVersionMax="47" xr10:uidLastSave="{A17DB5A5-1944-46E1-B503-DD7AFE6F1007}"/>
  <bookViews>
    <workbookView xWindow="-120" yWindow="-120" windowWidth="29040" windowHeight="1572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20" l="1" a="1"/>
  <c r="E23" i="20" s="1"/>
  <c r="D23" i="20" a="1"/>
  <c r="D23" i="20" s="1"/>
  <c r="F30" i="18"/>
  <c r="F29" i="18"/>
  <c r="F28" i="18"/>
  <c r="E30" i="18"/>
  <c r="E29" i="18"/>
  <c r="E28" i="18"/>
  <c r="D30" i="18"/>
  <c r="D29" i="18"/>
  <c r="C29" i="18"/>
  <c r="D28" i="18"/>
  <c r="C30" i="18"/>
  <c r="C28" i="18"/>
  <c r="B30" i="18"/>
  <c r="B29" i="18"/>
  <c r="B28" i="18"/>
  <c r="C6" i="18" a="1"/>
  <c r="C6" i="18" s="1"/>
  <c r="B6" i="18" a="1"/>
  <c r="B6" i="18" s="1"/>
  <c r="F6" i="18" a="1"/>
  <c r="F6" i="18" s="1"/>
  <c r="E6" i="18" a="1"/>
  <c r="E6" i="18" s="1"/>
  <c r="D6" i="18" a="1"/>
  <c r="D6" i="18" s="1"/>
  <c r="C22" i="19" a="1"/>
  <c r="C22" i="19" s="1"/>
  <c r="H4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<sst xmlns="http://schemas.openxmlformats.org/spreadsheetml/2006/main" count="405" uniqueCount="183">
  <si>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</si>
  <si>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</si>
  <si>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</si>
  <si>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</si>
  <si>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</si>
  <si>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</si>
  <si>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</si>
  <si>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</si>
  <si>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</si>
  <si>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</si>
  <si>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</si>
  <si>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</si>
  <si>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</si>
  <si>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</si>
  <si>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</si>
  <si>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</si>
  <si>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</si>
  <si>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</si>
  <si>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</si>
  <si>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</si>
  <si>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</si>
  <si>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</si>
  <si>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</si>
  <si>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</si>
  <si>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</si>
  <si>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</si>
  <si>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</si>
  <si>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</si>
  <si>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</si>
  <si>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</si>
  <si>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</si>
  <si>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</si>
  <si>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</si>
  <si>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</si>
  <si>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</si>
  <si>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</si>
  <si>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</si>
  <si>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</si>
  <si>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</si>
  <si>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</si>
  <si>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</si>
  <si>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</si>
  <si>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</si>
  <si>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</si>
  <si>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</si>
  <si>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</si>
  <si>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</si>
  <si>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</si>
  <si>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</si>
  <si>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</si>
  <si>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</si>
  <si>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</si>
  <si>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</si>
  <si>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</si>
  <si>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</si>
  <si>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</si>
  <si>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</si>
  <si>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</si>
  <si>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</si>
  <si>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</si>
  <si>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</si>
  <si>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</si>
  <si>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</si>
  <si>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</si>
  <si>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</si>
  <si>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</si>
  <si>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</si>
  <si>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</si>
  <si>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</si>
  <si>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</si>
  <si>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</si>
  <si>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</si>
  <si>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</si>
  <si>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</si>
  <si>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</si>
  <si>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</si>
  <si>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</si>
  <si>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</si>
  <si>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</si>
  <si>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</si>
  <si>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</si>
  <si>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</si>
  <si>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</si>
  <si>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</si>
  <si>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</si>
  <si>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</si>
  <si>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</si>
  <si>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</si>
  <si>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</si>
  <si>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</si>
  <si>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</si>
  <si>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</si>
  <si>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</si>
  <si>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</si>
  <si>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</si>
  <si>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</si>
  <si>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</si>
  <si>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</si>
  <si>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</si>
  <si>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</si>
  <si>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</si>
  <si>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</si>
  <si>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</si>
  <si>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</si>
  <si>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</si>
  <si>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</si>
  <si>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</si>
  <si>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</si>
  <si>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</si>
  <si>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</si>
  <si>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</si>
  <si>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</si>
  <si>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</si>
  <si>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</si>
  <si>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</si>
  <si>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</si>
  <si>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</si>
  <si>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</si>
  <si>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</si>
  <si>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</si>
  <si>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</si>
  <si>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</si>
  <si>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</si>
  <si>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</si>
  <si>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</si>
  <si>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</si>
  <si>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</si>
  <si>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</si>
  <si>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</si>
  <si>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</si>
  <si>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</si>
  <si>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</si>
  <si>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</si>
  <si>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</si>
  <si>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</si>
  <si>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</si>
  <si>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</si>
  <si>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</si>
  <si>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</si>
  <si>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</si>
  <si>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</si>
  <si>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</si>
  <si>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</si>
  <si>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</si>
  <si>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</si>
  <si>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</si>
  <si>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</si>
  <si>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</si>
  <si>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</si>
  <si>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</si>
  <si>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</si>
  <si>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</si>
  <si>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</si>
  <si>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</si>
  <si>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</si>
  <si>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</si>
  <si>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</si>
  <si>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</si>
  <si>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</si>
  <si>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</si>
  <si>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</si>
  <si>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</si>
  <si>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</si>
  <si>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</si>
  <si>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</si>
  <si>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</si>
  <si>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</si>
  <si>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</si>
  <si>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</si>
  <si>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</si>
  <si>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</si>
  <si>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</si>
  <si>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</si>
  <si>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</si>
  <si>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</si>
  <si>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</si>
  <si>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</si>
  <si>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=SUMIF(H2:H40,"&gt;" &amp;20)</t>
  </si>
  <si>
    <t>Data-Data tools-Text to Columns</t>
  </si>
  <si>
    <t>By splitting a single column of text into multiple columns - text to column - select delimited (-) --- selecting the destination in thed worksheet</t>
  </si>
  <si>
    <t>Formula/Functionality used:SUM(IF(ISERROR(C12:C21),20,C12:C21))</t>
  </si>
  <si>
    <t>performing sum of all the sales values and using ISError function replacing errored value with the 20.</t>
  </si>
  <si>
    <t>Here I tried to Map Id with the name but unable to map the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</si>
</sst>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202124"/>
      <name val="Roboto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2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4" fillId="0" borderId="0" xfId="0" quotePrefix="1" applyFont="1"/>
    <xf numFmtId="167" fontId="7" fillId="0" borderId="0" xfId="0" applyNumberFormat="1" applyFont="1"/>
    <xf numFmtId="167" fontId="3" fillId="0" borderId="0" xfId="0" applyNumberFormat="1" applyFont="1"/>
    <xf numFmtId="0" fontId="3" fillId="6" borderId="0" xfId="0" applyFont="1" applyFill="1"/>
    <xf numFmtId="0" fontId="3" fillId="0" borderId="0" xfId="0" applyFont="1" applyBorder="1"/>
    <xf numFmtId="0" fontId="8" fillId="0" borderId="0" xfId="0" applyFont="1" applyBorder="1" applyAlignment="1">
      <alignment horizontal="center"/>
    </xf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6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zoomScaleNormal="100" workbookViewId="0">
      <pane ySplit="1" topLeftCell="A8" activePane="bottomLeft" state="frozen"/>
      <selection activeCell="E1" sqref="E1"/>
      <selection pane="bottomLeft" activeCell="A32" sqref="A32:J33"/>
    </sheetView>
  </sheetViews>
  <sheetFormatPr defaultColWidth="9" defaultRowHeight="15" x14ac:dyDescent="0.25"/>
  <cols>
    <col min="1" max="1" width="20.83203125" style="1" bestFit="1" customWidth="1"/>
    <col min="2" max="2" width="7" style="1" bestFit="1" customWidth="1"/>
    <col min="3" max="3" width="10.6640625" style="1" bestFit="1" customWidth="1"/>
    <col min="4" max="4" width="11.83203125" style="24" bestFit="1" customWidth="1"/>
    <col min="5" max="5" width="10" style="1" bestFit="1" customWidth="1"/>
    <col min="6" max="6" width="11.1640625" style="24" bestFit="1" customWidth="1"/>
    <col min="7" max="9" width="5.83203125" style="1" bestFit="1" customWidth="1"/>
    <col min="10" max="12" width="7.83203125" style="1" bestFit="1" customWidth="1"/>
    <col min="13" max="15" width="7" style="1" bestFit="1" customWidth="1"/>
    <col min="16" max="18" width="5.83203125" style="1" bestFit="1" customWidth="1"/>
    <col min="19" max="20" width="7.5" style="1" bestFit="1" customWidth="1"/>
    <col min="21" max="23" width="6.1640625" style="1" bestFit="1" customWidth="1"/>
    <col min="24" max="24" width="12.1640625" style="47" bestFit="1" customWidth="1"/>
    <col min="25" max="16384" width="9" style="1"/>
  </cols>
  <sheetData>
    <row r="1" spans="1:24" s="3" customForma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 x14ac:dyDescent="0.25">
      <c r="H41" s="48">
        <f>SUMIF(H2:H40,"&gt;" &amp;20)</f>
        <v>1473.0000000000002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G2:W40">
    <cfRule type="cellIs" dxfId="2" priority="1" operator="equal">
      <formula>-1</formula>
    </cfRule>
    <cfRule type="cellIs" dxfId="1" priority="2" operator="equal">
      <formula>-1</formula>
    </cfRule>
    <cfRule type="cellIs" dxfId="0" priority="3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72.83203125" style="1" bestFit="1" customWidth="1"/>
    <col min="3" max="3" width="55.164062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45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11" sqref="H11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 cm="1">
        <f t="array" ref="B6:B27">VLOOKUP(A6:A27,Dataset!A2:G40,7,FALSE)</f>
        <v>2.7</v>
      </c>
      <c r="C6" s="12" cm="1">
        <f t="array" ref="C6:C27">VLOOKUP(A6:A27,Dataset!A2:N40,14,FALSE)</f>
        <v>7.6</v>
      </c>
      <c r="D6" s="12" cm="1">
        <f t="array" ref="D6:D27">VLOOKUP(A6:A27,Dataset!A2:R40,18,FALSE)</f>
        <v>4.2</v>
      </c>
      <c r="E6" s="12" cm="1">
        <f t="array" ref="E6:E27">VLOOKUP(A6:A27,Dataset!A2:T40,20,FALSE)</f>
        <v>8.9</v>
      </c>
      <c r="F6" s="8" cm="1">
        <f t="array" ref="F6:F27">VLOOKUP(A6:A27,Dataset!A2:V40,22,FALSE)</f>
        <v>4.2</v>
      </c>
    </row>
    <row r="7" spans="1:7" ht="15" x14ac:dyDescent="0.25">
      <c r="A7" s="7" t="s">
        <v>4</v>
      </c>
      <c r="B7" s="12">
        <v>2.7</v>
      </c>
      <c r="C7" s="12">
        <v>7.6</v>
      </c>
      <c r="D7" s="12">
        <v>4.2</v>
      </c>
      <c r="E7" s="12">
        <v>8.9</v>
      </c>
      <c r="F7" s="8">
        <v>4.2</v>
      </c>
    </row>
    <row r="8" spans="1:7" ht="15" x14ac:dyDescent="0.25">
      <c r="A8" s="7" t="s">
        <v>7</v>
      </c>
      <c r="B8" s="12">
        <v>3.6</v>
      </c>
      <c r="C8" s="12">
        <v>11.1</v>
      </c>
      <c r="D8" s="12">
        <v>5.8</v>
      </c>
      <c r="E8" s="12">
        <v>12.2</v>
      </c>
      <c r="F8" s="8">
        <v>5.8</v>
      </c>
    </row>
    <row r="9" spans="1:7" ht="15" x14ac:dyDescent="0.25">
      <c r="A9" s="7" t="s">
        <v>8</v>
      </c>
      <c r="B9" s="12">
        <v>4.9000000000000004</v>
      </c>
      <c r="C9" s="12">
        <v>13.3</v>
      </c>
      <c r="D9" s="12">
        <v>8.1</v>
      </c>
      <c r="E9" s="12">
        <v>17</v>
      </c>
      <c r="F9" s="8">
        <v>8.1</v>
      </c>
    </row>
    <row r="10" spans="1:7" ht="15" x14ac:dyDescent="0.25">
      <c r="A10" s="7" t="s">
        <v>11</v>
      </c>
      <c r="B10" s="12">
        <v>9.4</v>
      </c>
      <c r="C10" s="12">
        <v>28.3</v>
      </c>
      <c r="D10" s="12">
        <v>16.100000000000001</v>
      </c>
      <c r="E10" s="12">
        <v>32.799999999999997</v>
      </c>
      <c r="F10" s="8">
        <v>16.100000000000001</v>
      </c>
    </row>
    <row r="11" spans="1:7" ht="15" x14ac:dyDescent="0.25">
      <c r="A11" s="7" t="s">
        <v>12</v>
      </c>
      <c r="B11" s="12">
        <v>11.6</v>
      </c>
      <c r="C11" s="12">
        <v>35.200000000000003</v>
      </c>
      <c r="D11" s="12">
        <v>21.3</v>
      </c>
      <c r="E11" s="12">
        <v>43</v>
      </c>
      <c r="F11" s="8">
        <v>21.3</v>
      </c>
    </row>
    <row r="12" spans="1:7" ht="15" x14ac:dyDescent="0.25">
      <c r="A12" s="7" t="s">
        <v>14</v>
      </c>
      <c r="B12" s="12">
        <v>18.399999999999999</v>
      </c>
      <c r="C12" s="12">
        <v>55.6</v>
      </c>
      <c r="D12" s="12">
        <v>33.799999999999997</v>
      </c>
      <c r="E12" s="12">
        <v>67.900000000000006</v>
      </c>
      <c r="F12" s="8">
        <v>33.799999999999997</v>
      </c>
    </row>
    <row r="13" spans="1:7" ht="15" x14ac:dyDescent="0.25">
      <c r="A13" s="7" t="s">
        <v>15</v>
      </c>
      <c r="B13" s="12">
        <v>0</v>
      </c>
      <c r="C13" s="12">
        <v>0</v>
      </c>
      <c r="D13" s="12">
        <v>0</v>
      </c>
      <c r="E13" s="12">
        <v>0</v>
      </c>
      <c r="F13" s="8">
        <v>0</v>
      </c>
    </row>
    <row r="14" spans="1:7" ht="15" x14ac:dyDescent="0.25">
      <c r="A14" s="7" t="s">
        <v>16</v>
      </c>
      <c r="B14" s="12">
        <v>21.9</v>
      </c>
      <c r="C14" s="12">
        <v>61.5</v>
      </c>
      <c r="D14" s="12">
        <v>40.1</v>
      </c>
      <c r="E14" s="12">
        <v>76.599999999999994</v>
      </c>
      <c r="F14" s="8">
        <v>40.1</v>
      </c>
    </row>
    <row r="15" spans="1:7" ht="15" x14ac:dyDescent="0.25">
      <c r="A15" s="7" t="s">
        <v>18</v>
      </c>
      <c r="B15" s="12">
        <v>26.8</v>
      </c>
      <c r="C15" s="12">
        <v>79.599999999999994</v>
      </c>
      <c r="D15" s="12">
        <v>47.9</v>
      </c>
      <c r="E15" s="12">
        <v>96.8</v>
      </c>
      <c r="F15" s="8">
        <v>47.9</v>
      </c>
    </row>
    <row r="16" spans="1:7" ht="15" x14ac:dyDescent="0.25">
      <c r="A16" s="7" t="s">
        <v>20</v>
      </c>
      <c r="B16" s="12">
        <v>28.5</v>
      </c>
      <c r="C16" s="12">
        <v>85.4</v>
      </c>
      <c r="D16" s="12">
        <v>52.3</v>
      </c>
      <c r="E16" s="12">
        <v>106.1</v>
      </c>
      <c r="F16" s="8">
        <v>52.3</v>
      </c>
    </row>
    <row r="17" spans="1:6" ht="15" x14ac:dyDescent="0.25">
      <c r="A17" s="7" t="s">
        <v>22</v>
      </c>
      <c r="B17" s="12">
        <v>30.7</v>
      </c>
      <c r="C17" s="12">
        <v>92.1</v>
      </c>
      <c r="D17" s="12">
        <v>57</v>
      </c>
      <c r="E17" s="12">
        <v>115.1</v>
      </c>
      <c r="F17" s="8">
        <v>57</v>
      </c>
    </row>
    <row r="18" spans="1:6" ht="15" x14ac:dyDescent="0.25">
      <c r="A18" s="7" t="s">
        <v>23</v>
      </c>
      <c r="B18" s="12">
        <v>33.799999999999997</v>
      </c>
      <c r="C18" s="12">
        <v>101.3</v>
      </c>
      <c r="D18" s="12">
        <v>61.4</v>
      </c>
      <c r="E18" s="12">
        <v>124.4</v>
      </c>
      <c r="F18" s="8">
        <v>61.4</v>
      </c>
    </row>
    <row r="19" spans="1:6" ht="15" x14ac:dyDescent="0.25">
      <c r="A19" s="7" t="s">
        <v>24</v>
      </c>
      <c r="B19" s="12">
        <v>34.700000000000003</v>
      </c>
      <c r="C19" s="12">
        <v>106.1</v>
      </c>
      <c r="D19" s="12">
        <v>63.6</v>
      </c>
      <c r="E19" s="12">
        <v>128.6</v>
      </c>
      <c r="F19" s="8">
        <v>63.6</v>
      </c>
    </row>
    <row r="20" spans="1:6" ht="15" x14ac:dyDescent="0.25">
      <c r="A20" s="7" t="s">
        <v>28</v>
      </c>
      <c r="B20" s="12">
        <v>0</v>
      </c>
      <c r="C20" s="12">
        <v>0</v>
      </c>
      <c r="D20" s="12">
        <v>0</v>
      </c>
      <c r="E20" s="12">
        <v>0</v>
      </c>
      <c r="F20" s="8">
        <v>0</v>
      </c>
    </row>
    <row r="21" spans="1:6" ht="15" x14ac:dyDescent="0.25">
      <c r="A21" s="7" t="s">
        <v>57</v>
      </c>
      <c r="B21" s="12">
        <v>41.3</v>
      </c>
      <c r="C21" s="12">
        <v>124.4</v>
      </c>
      <c r="D21" s="12">
        <v>75</v>
      </c>
      <c r="E21" s="12">
        <v>151.5</v>
      </c>
      <c r="F21" s="8">
        <v>75</v>
      </c>
    </row>
    <row r="22" spans="1:6" ht="15" x14ac:dyDescent="0.25">
      <c r="A22" s="7" t="s">
        <v>58</v>
      </c>
      <c r="B22" s="12">
        <v>-1</v>
      </c>
      <c r="C22" s="12">
        <v>-1</v>
      </c>
      <c r="D22" s="12">
        <v>-1</v>
      </c>
      <c r="E22" s="12">
        <v>-1</v>
      </c>
      <c r="F22" s="8">
        <v>-1</v>
      </c>
    </row>
    <row r="23" spans="1:6" ht="15" x14ac:dyDescent="0.25">
      <c r="A23" s="7" t="s">
        <v>31</v>
      </c>
      <c r="B23" s="12">
        <v>45</v>
      </c>
      <c r="C23" s="12">
        <v>133.4</v>
      </c>
      <c r="D23" s="12">
        <v>79.400000000000006</v>
      </c>
      <c r="E23" s="12">
        <v>160.9</v>
      </c>
      <c r="F23" s="8">
        <v>79.400000000000006</v>
      </c>
    </row>
    <row r="24" spans="1:6" ht="15" x14ac:dyDescent="0.25">
      <c r="A24" s="7" t="s">
        <v>32</v>
      </c>
      <c r="B24" s="12">
        <v>-1</v>
      </c>
      <c r="C24" s="12">
        <v>-1</v>
      </c>
      <c r="D24" s="12">
        <v>-1</v>
      </c>
      <c r="E24" s="12">
        <v>-1</v>
      </c>
      <c r="F24" s="8">
        <v>-1</v>
      </c>
    </row>
    <row r="25" spans="1:6" ht="15" x14ac:dyDescent="0.25">
      <c r="A25" s="7" t="s">
        <v>34</v>
      </c>
      <c r="B25" s="12">
        <v>43.3</v>
      </c>
      <c r="C25" s="12">
        <v>128.6</v>
      </c>
      <c r="D25" s="12">
        <v>79.400000000000006</v>
      </c>
      <c r="E25" s="12">
        <v>160.9</v>
      </c>
      <c r="F25" s="8">
        <v>79.400000000000006</v>
      </c>
    </row>
    <row r="26" spans="1:6" ht="15" x14ac:dyDescent="0.25">
      <c r="A26" s="7" t="s">
        <v>37</v>
      </c>
      <c r="B26" s="12">
        <v>49.1</v>
      </c>
      <c r="C26" s="12">
        <v>146.80000000000001</v>
      </c>
      <c r="D26" s="12">
        <v>90.9</v>
      </c>
      <c r="E26" s="12">
        <v>183.5</v>
      </c>
      <c r="F26" s="8">
        <v>90.9</v>
      </c>
    </row>
    <row r="27" spans="1:6" ht="15" x14ac:dyDescent="0.25">
      <c r="A27" s="7" t="s">
        <v>39</v>
      </c>
      <c r="B27" s="12">
        <v>51.8</v>
      </c>
      <c r="C27" s="12">
        <v>156.4</v>
      </c>
      <c r="D27" s="12">
        <v>93.1</v>
      </c>
      <c r="E27" s="12">
        <v>188.1</v>
      </c>
      <c r="F27" s="8">
        <v>93.1</v>
      </c>
    </row>
    <row r="28" spans="1:6" ht="15" x14ac:dyDescent="0.25">
      <c r="A28" s="19" t="s">
        <v>82</v>
      </c>
      <c r="B28" s="31">
        <f>MIN(_xlfn.ANCHORARRAY(B6))</f>
        <v>-1</v>
      </c>
      <c r="C28" s="31">
        <f>MIN(_xlfn.ANCHORARRAY(C6))</f>
        <v>-1</v>
      </c>
      <c r="D28" s="31">
        <f>MIN(_xlfn.ANCHORARRAY(D6))</f>
        <v>-1</v>
      </c>
      <c r="E28" s="31">
        <f>MIN(_xlfn.ANCHORARRAY(E6))</f>
        <v>-1</v>
      </c>
      <c r="F28" s="31">
        <f>MIN(_xlfn.ANCHORARRAY(F6))</f>
        <v>-1</v>
      </c>
    </row>
    <row r="29" spans="1:6" ht="15" x14ac:dyDescent="0.25">
      <c r="A29" s="19" t="s">
        <v>83</v>
      </c>
      <c r="B29" s="31">
        <f>MAX(_xlfn.ANCHORARRAY(B6))</f>
        <v>51.8</v>
      </c>
      <c r="C29" s="31">
        <f>MAX(_xlfn.ANCHORARRAY(C6))</f>
        <v>156.4</v>
      </c>
      <c r="D29" s="31">
        <f>MAX(_xlfn.ANCHORARRAY(D6))</f>
        <v>93.1</v>
      </c>
      <c r="E29" s="31">
        <f>MAX(_xlfn.ANCHORARRAY(E6))</f>
        <v>188.1</v>
      </c>
      <c r="F29" s="31">
        <f>MAX(_xlfn.ANCHORARRAY(F6))</f>
        <v>93.1</v>
      </c>
    </row>
    <row r="30" spans="1:6" ht="15" x14ac:dyDescent="0.25">
      <c r="A30" s="19" t="s">
        <v>84</v>
      </c>
      <c r="B30" s="31">
        <f>AVERAGE(_xlfn.ANCHORARRAY(B6))</f>
        <v>20.827272727272728</v>
      </c>
      <c r="C30" s="31">
        <f>AVERAGE(_xlfn.ANCHORARRAY(C6))</f>
        <v>62.377272727272725</v>
      </c>
      <c r="D30" s="31">
        <f>AVERAGE(_xlfn.ANCHORARRAY(D6))</f>
        <v>37.800000000000004</v>
      </c>
      <c r="E30" s="31">
        <f>AVERAGE(_xlfn.ANCHORARRAY(E6))</f>
        <v>76.418181818181822</v>
      </c>
      <c r="F30" s="31">
        <f>AVERAGE(_xlfn.ANCHORARRAY(F6))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6" zoomScaleNormal="100" workbookViewId="0">
      <selection activeCell="B6" sqref="B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51" t="s">
        <v>178</v>
      </c>
    </row>
    <row r="6" spans="1:10" ht="18.75" x14ac:dyDescent="0.3">
      <c r="A6" s="42" t="s">
        <v>153</v>
      </c>
      <c r="B6" s="51" t="s">
        <v>179</v>
      </c>
    </row>
    <row r="7" spans="1:10" ht="18.75" x14ac:dyDescent="0.3">
      <c r="A7" s="42"/>
      <c r="B7" s="39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E22"/>
  <sheetViews>
    <sheetView zoomScaleNormal="100" workbookViewId="0">
      <selection activeCell="J14" sqref="J14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6.6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5" ht="21" x14ac:dyDescent="0.35">
      <c r="A1" s="41" t="s">
        <v>85</v>
      </c>
      <c r="B1" s="40" t="s">
        <v>167</v>
      </c>
    </row>
    <row r="2" spans="1:5" ht="18.75" x14ac:dyDescent="0.3">
      <c r="B2" s="39" t="s">
        <v>166</v>
      </c>
    </row>
    <row r="5" spans="1:5" ht="15" x14ac:dyDescent="0.25">
      <c r="B5" s="1" t="s">
        <v>151</v>
      </c>
    </row>
    <row r="6" spans="1:5" ht="15" x14ac:dyDescent="0.25">
      <c r="A6" s="3" t="s">
        <v>180</v>
      </c>
      <c r="B6" s="1"/>
    </row>
    <row r="7" spans="1:5" ht="15" x14ac:dyDescent="0.25">
      <c r="A7" s="3" t="s">
        <v>153</v>
      </c>
      <c r="B7" s="1" t="s">
        <v>181</v>
      </c>
    </row>
    <row r="10" spans="1:5" ht="23.25" x14ac:dyDescent="0.35">
      <c r="A10" s="18" t="s">
        <v>162</v>
      </c>
    </row>
    <row r="11" spans="1:5" ht="15" x14ac:dyDescent="0.25">
      <c r="A11" s="32" t="s">
        <v>86</v>
      </c>
      <c r="B11" s="17" t="s">
        <v>87</v>
      </c>
      <c r="C11" s="17" t="s">
        <v>88</v>
      </c>
      <c r="D11" s="49"/>
      <c r="E11" s="49"/>
    </row>
    <row r="12" spans="1:5" ht="15" x14ac:dyDescent="0.25">
      <c r="A12" s="32">
        <v>44927</v>
      </c>
      <c r="B12" s="17" t="s">
        <v>59</v>
      </c>
      <c r="C12" s="17">
        <v>200</v>
      </c>
      <c r="D12" s="49"/>
    </row>
    <row r="13" spans="1:5" ht="15" x14ac:dyDescent="0.25">
      <c r="A13" s="32">
        <v>44928</v>
      </c>
      <c r="B13" s="17" t="s">
        <v>60</v>
      </c>
      <c r="C13" s="17" t="e">
        <v>#N/A</v>
      </c>
      <c r="D13" s="49"/>
    </row>
    <row r="14" spans="1:5" ht="15" x14ac:dyDescent="0.25">
      <c r="A14" s="32">
        <v>44929</v>
      </c>
      <c r="B14" s="17" t="s">
        <v>61</v>
      </c>
      <c r="C14" s="17">
        <v>50</v>
      </c>
      <c r="D14" s="49"/>
    </row>
    <row r="15" spans="1:5" ht="15" x14ac:dyDescent="0.25">
      <c r="A15" s="32">
        <v>44930</v>
      </c>
      <c r="B15" s="17" t="s">
        <v>62</v>
      </c>
      <c r="C15" s="17" t="e">
        <v>#N/A</v>
      </c>
      <c r="D15" s="49"/>
    </row>
    <row r="16" spans="1:5" ht="15" x14ac:dyDescent="0.25">
      <c r="A16" s="32">
        <v>44931</v>
      </c>
      <c r="B16" s="17" t="s">
        <v>63</v>
      </c>
      <c r="C16" s="17">
        <v>10</v>
      </c>
      <c r="D16" s="49"/>
    </row>
    <row r="17" spans="1:4" ht="15" x14ac:dyDescent="0.25">
      <c r="A17" s="32">
        <v>44932</v>
      </c>
      <c r="B17" s="17" t="s">
        <v>154</v>
      </c>
      <c r="C17" s="17">
        <v>150</v>
      </c>
      <c r="D17" s="49"/>
    </row>
    <row r="18" spans="1:4" ht="15" x14ac:dyDescent="0.25">
      <c r="A18" s="32">
        <v>44933</v>
      </c>
      <c r="B18" s="17" t="s">
        <v>155</v>
      </c>
      <c r="C18" s="17">
        <v>80</v>
      </c>
      <c r="D18" s="49"/>
    </row>
    <row r="19" spans="1:4" ht="15" x14ac:dyDescent="0.25">
      <c r="A19" s="32">
        <v>44934</v>
      </c>
      <c r="B19" s="17" t="s">
        <v>156</v>
      </c>
      <c r="C19" s="17" t="e">
        <v>#N/A</v>
      </c>
      <c r="D19" s="49"/>
    </row>
    <row r="20" spans="1:4" ht="15" x14ac:dyDescent="0.25">
      <c r="A20" s="32">
        <v>44935</v>
      </c>
      <c r="B20" s="17" t="s">
        <v>157</v>
      </c>
      <c r="C20" s="17">
        <v>30</v>
      </c>
      <c r="D20" s="49"/>
    </row>
    <row r="21" spans="1:4" ht="15" x14ac:dyDescent="0.25">
      <c r="A21" s="32">
        <v>44936</v>
      </c>
      <c r="B21" s="17" t="s">
        <v>158</v>
      </c>
      <c r="C21" s="17" t="e">
        <v>#N/A</v>
      </c>
      <c r="D21" s="49"/>
    </row>
    <row r="22" spans="1:4" ht="15" x14ac:dyDescent="0.25">
      <c r="B22" s="17" t="s">
        <v>159</v>
      </c>
      <c r="C22" s="25" cm="1">
        <f t="array" ref="C22">SUM(IF(ISERROR(C12:C21),20,C12:C21))</f>
        <v>600</v>
      </c>
      <c r="D22" s="5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3" zoomScaleNormal="100" workbookViewId="0">
      <selection activeCell="M26" sqref="M26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</row>
    <row r="5" spans="1:14" ht="18.75" x14ac:dyDescent="0.3">
      <c r="A5" s="42" t="s">
        <v>153</v>
      </c>
      <c r="B5" s="1"/>
    </row>
    <row r="6" spans="1:14" ht="15" x14ac:dyDescent="0.25">
      <c r="A6" s="3"/>
      <c r="B6" s="1"/>
    </row>
    <row r="8" spans="1:14" ht="23.25" x14ac:dyDescent="0.35">
      <c r="A8" s="18" t="s">
        <v>162</v>
      </c>
      <c r="M8" s="18" t="s">
        <v>163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168</v>
      </c>
    </row>
    <row r="22" spans="1:14" ht="15" x14ac:dyDescent="0.25">
      <c r="A22" s="14" t="s">
        <v>100</v>
      </c>
      <c r="B22" s="17" t="s">
        <v>101</v>
      </c>
      <c r="C22" s="16" t="s">
        <v>102</v>
      </c>
      <c r="D22" s="25"/>
      <c r="E22" s="25"/>
    </row>
    <row r="23" spans="1:14" ht="15" x14ac:dyDescent="0.25">
      <c r="A23" s="7">
        <v>10100</v>
      </c>
      <c r="B23" s="12">
        <v>10102</v>
      </c>
      <c r="C23" s="43"/>
      <c r="D23" s="25" t="str" cm="1">
        <f t="array" ref="D23:D35">_xlfn.XLOOKUP(A23:A35,M10:M18,N10:N18)</f>
        <v>A</v>
      </c>
      <c r="E23" s="25" t="str" cm="1">
        <f t="array" ref="E23:E35">_xlfn.XLOOKUP(B23:B35,M10:M18,N10:N18)</f>
        <v>B</v>
      </c>
      <c r="F23" s="2" t="s">
        <v>182</v>
      </c>
    </row>
    <row r="24" spans="1:14" ht="15" x14ac:dyDescent="0.25">
      <c r="A24" s="7">
        <v>10100</v>
      </c>
      <c r="B24" s="12">
        <v>10104</v>
      </c>
      <c r="C24" s="43"/>
      <c r="D24" s="25" t="str">
        <v>A</v>
      </c>
      <c r="E24" s="25" t="str">
        <v>C</v>
      </c>
    </row>
    <row r="25" spans="1:14" ht="15" x14ac:dyDescent="0.25">
      <c r="A25" s="7">
        <v>10108</v>
      </c>
      <c r="B25" s="12">
        <v>10102</v>
      </c>
      <c r="C25" s="43"/>
      <c r="D25" s="25" t="str">
        <v>E</v>
      </c>
      <c r="E25" s="25" t="str">
        <v>B</v>
      </c>
    </row>
    <row r="26" spans="1:14" ht="15" x14ac:dyDescent="0.25">
      <c r="A26" s="7">
        <v>10100</v>
      </c>
      <c r="B26" s="12">
        <v>10106</v>
      </c>
      <c r="C26" s="43"/>
      <c r="D26" s="25" t="str">
        <v>A</v>
      </c>
      <c r="E26" s="25" t="str">
        <v>D</v>
      </c>
    </row>
    <row r="27" spans="1:14" ht="15" x14ac:dyDescent="0.25">
      <c r="A27" s="7">
        <v>10108</v>
      </c>
      <c r="B27" s="12">
        <v>10110</v>
      </c>
      <c r="C27" s="43"/>
      <c r="D27" s="25" t="str">
        <v>E</v>
      </c>
      <c r="E27" s="25" t="str">
        <v>F</v>
      </c>
    </row>
    <row r="28" spans="1:14" ht="15" x14ac:dyDescent="0.25">
      <c r="A28" s="7">
        <v>10102</v>
      </c>
      <c r="B28" s="12">
        <v>10104</v>
      </c>
      <c r="C28" s="43"/>
      <c r="D28" s="25" t="str">
        <v>B</v>
      </c>
      <c r="E28" s="25" t="str">
        <v>C</v>
      </c>
    </row>
    <row r="29" spans="1:14" ht="15" x14ac:dyDescent="0.25">
      <c r="A29" s="7">
        <v>10106</v>
      </c>
      <c r="B29" s="12">
        <v>10108</v>
      </c>
      <c r="C29" s="43"/>
      <c r="D29" s="25" t="str">
        <v>D</v>
      </c>
      <c r="E29" s="25" t="str">
        <v>E</v>
      </c>
    </row>
    <row r="30" spans="1:14" ht="15" x14ac:dyDescent="0.25">
      <c r="A30" s="7">
        <v>10102</v>
      </c>
      <c r="B30" s="12">
        <v>10106</v>
      </c>
      <c r="C30" s="43"/>
      <c r="D30" s="25" t="str">
        <v>B</v>
      </c>
      <c r="E30" s="25" t="str">
        <v>D</v>
      </c>
    </row>
    <row r="31" spans="1:14" ht="15" x14ac:dyDescent="0.25">
      <c r="A31" s="7">
        <v>10110</v>
      </c>
      <c r="B31" s="12">
        <v>10114</v>
      </c>
      <c r="C31" s="43"/>
      <c r="D31" s="25" t="str">
        <v>F</v>
      </c>
      <c r="E31" s="25" t="str">
        <v>H</v>
      </c>
    </row>
    <row r="32" spans="1:14" ht="15" x14ac:dyDescent="0.25">
      <c r="A32" s="7">
        <v>10104</v>
      </c>
      <c r="B32" s="12">
        <v>10106</v>
      </c>
      <c r="C32" s="43"/>
      <c r="D32" s="25" t="str">
        <v>C</v>
      </c>
      <c r="E32" s="25" t="str">
        <v>D</v>
      </c>
    </row>
    <row r="33" spans="1:5" ht="15" x14ac:dyDescent="0.25">
      <c r="A33" s="7">
        <v>10110</v>
      </c>
      <c r="B33" s="12">
        <v>10112</v>
      </c>
      <c r="C33" s="43"/>
      <c r="D33" s="25" t="str">
        <v>F</v>
      </c>
      <c r="E33" s="25" t="str">
        <v>G</v>
      </c>
    </row>
    <row r="34" spans="1:5" ht="15" x14ac:dyDescent="0.25">
      <c r="A34" s="7">
        <v>10100</v>
      </c>
      <c r="B34" s="12">
        <v>10114</v>
      </c>
      <c r="C34" s="43"/>
      <c r="D34" s="25" t="str">
        <v>A</v>
      </c>
      <c r="E34" s="25" t="str">
        <v>H</v>
      </c>
    </row>
    <row r="35" spans="1:5" ht="15" x14ac:dyDescent="0.25">
      <c r="A35" s="9">
        <v>10112</v>
      </c>
      <c r="B35" s="13">
        <v>10116</v>
      </c>
      <c r="C35" s="44"/>
      <c r="D35" s="25" t="str">
        <v>G</v>
      </c>
      <c r="E35" s="25" t="str"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Sagar Pavale</cp:lastModifiedBy>
  <dcterms:created xsi:type="dcterms:W3CDTF">2015-02-10T17:33:11Z</dcterms:created>
  <dcterms:modified xsi:type="dcterms:W3CDTF">2023-12-10T15:34:51Z</dcterms:modified>
</cp:coreProperties>
</file>